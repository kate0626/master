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析" sheetId="1" state="visible" r:id="rId1"/>
    <sheet name="表4_容量サイジン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%"/>
    <numFmt numFmtId="165" formatCode="0.0%"/>
    <numFmt numFmtId="166" formatCode="0.000"/>
    <numFmt numFmtId="167" formatCode="+0.0%;-0.0%;0.0%"/>
    <numFmt numFmtId="168" formatCode="0.0"/>
  </numFmts>
  <fonts count="8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55555"/>
      <sz val="9"/>
    </font>
    <font>
      <name val="Arial"/>
      <b val="1"/>
    </font>
    <font>
      <name val="Arial"/>
      <b val="1"/>
      <color rgb="00FFFFFF"/>
    </font>
    <font>
      <name val="Arial"/>
      <color rgb="000000FF"/>
    </font>
    <font>
      <name val="Arial"/>
      <color rgb="00000000"/>
    </font>
    <font>
      <name val="Arial"/>
      <color rgb="00555555"/>
      <sz val="9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548235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5" fillId="0" borderId="1" pivotButton="0" quotePrefix="0" xfId="0"/>
    <xf numFmtId="3" fontId="5" fillId="0" borderId="1" pivotButton="0" quotePrefix="0" xfId="0"/>
    <xf numFmtId="0" fontId="6" fillId="0" borderId="1" pivotButton="0" quotePrefix="0" xfId="0"/>
    <xf numFmtId="0" fontId="5" fillId="0" borderId="1" applyAlignment="1" pivotButton="0" quotePrefix="0" xfId="0">
      <alignment horizontal="center"/>
    </xf>
    <xf numFmtId="3" fontId="6" fillId="0" borderId="1" pivotButton="0" quotePrefix="0" xfId="0"/>
    <xf numFmtId="164" fontId="6" fillId="0" borderId="1" pivotButton="0" quotePrefix="0" xfId="0"/>
    <xf numFmtId="0" fontId="3" fillId="3" borderId="1" pivotButton="0" quotePrefix="0" xfId="0"/>
    <xf numFmtId="0" fontId="6" fillId="3" borderId="0" pivotButton="0" quotePrefix="0" xfId="0"/>
    <xf numFmtId="3" fontId="3" fillId="3" borderId="1" pivotButton="0" quotePrefix="0" xfId="0"/>
    <xf numFmtId="164" fontId="3" fillId="3" borderId="1" pivotButton="0" quotePrefix="0" xfId="0"/>
    <xf numFmtId="165" fontId="6" fillId="0" borderId="1" pivotButton="0" quotePrefix="0" xfId="0"/>
    <xf numFmtId="166" fontId="5" fillId="0" borderId="1" pivotButton="0" quotePrefix="0" xfId="0"/>
    <xf numFmtId="167" fontId="6" fillId="0" borderId="1" pivotButton="0" quotePrefix="0" xfId="0"/>
    <xf numFmtId="0" fontId="7" fillId="0" borderId="0" pivotButton="0" quotePrefix="0" xfId="0"/>
    <xf numFmtId="0" fontId="6" fillId="0" borderId="0" pivotButton="0" quotePrefix="0" xfId="0"/>
    <xf numFmtId="0" fontId="5" fillId="4" borderId="1" applyAlignment="1" pivotButton="0" quotePrefix="0" xfId="0">
      <alignment horizontal="center"/>
    </xf>
    <xf numFmtId="9" fontId="5" fillId="4" borderId="1" applyAlignment="1" pivotButton="0" quotePrefix="0" xfId="0">
      <alignment horizontal="center"/>
    </xf>
    <xf numFmtId="165" fontId="5" fillId="4" borderId="1" applyAlignment="1" pivotButton="0" quotePrefix="0" xfId="0">
      <alignment horizontal="center"/>
    </xf>
    <xf numFmtId="168" fontId="6" fillId="0" borderId="1" pivotButton="0" quotePrefix="0" xfId="0"/>
    <xf numFmtId="0" fontId="3" fillId="5" borderId="0" pivotButton="0" quotePrefix="0" xfId="0"/>
    <xf numFmtId="0" fontId="4" fillId="5" borderId="1" applyAlignment="1" pivotButton="0" quotePrefix="0" xfId="0">
      <alignment horizontal="center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6" customWidth="1" min="4" max="4"/>
    <col width="14" customWidth="1" min="5" max="5"/>
    <col width="15" customWidth="1" min="6" max="6"/>
    <col width="12" customWidth="1" min="7" max="7"/>
    <col width="13" customWidth="1" min="8" max="8"/>
    <col width="13" customWidth="1" min="9" max="9"/>
    <col width="10" customWidth="1" min="10" max="10"/>
  </cols>
  <sheetData>
    <row r="1">
      <c r="A1" s="1" t="inlineStr">
        <is>
          <t>分散RW 認可キャッシュ 分析（計算式埋め込み）</t>
        </is>
      </c>
    </row>
    <row r="2">
      <c r="A2" s="2" t="inlineStr">
        <is>
          <t>青字=入力(測定値) ／ 黒字=計算式。測定値を書き換えると割合・削減率は自動再計算。</t>
        </is>
      </c>
    </row>
    <row r="4">
      <c r="A4" s="3" t="inlineStr">
        <is>
          <t>【定数】グラフサイズ</t>
        </is>
      </c>
    </row>
    <row r="5">
      <c r="A5" s="4" t="inlineStr">
        <is>
          <t>graph</t>
        </is>
      </c>
      <c r="B5" s="4" t="inlineStr">
        <is>
          <t>|V|(ノード数)</t>
        </is>
      </c>
    </row>
    <row r="6">
      <c r="A6" s="5" t="inlineStr">
        <is>
          <t>amazon0601</t>
        </is>
      </c>
      <c r="B6" s="6" t="n">
        <v>392218</v>
      </c>
    </row>
    <row r="7">
      <c r="A7" s="5" t="inlineStr">
        <is>
          <t>vldb</t>
        </is>
      </c>
      <c r="B7" s="6" t="n">
        <v>263751</v>
      </c>
    </row>
    <row r="9">
      <c r="A9" s="3" t="inlineStr">
        <is>
          <t>【入力】1視点(start)あたり訪問エンティティ（memo working set, 退化start除外）</t>
        </is>
      </c>
    </row>
    <row r="10">
      <c r="A10" s="4" t="inlineStr">
        <is>
          <t>graph</t>
        </is>
      </c>
      <c r="B10" s="4" t="inlineStr">
        <is>
          <t>start</t>
        </is>
      </c>
      <c r="C10" s="4" t="inlineStr">
        <is>
          <t>nodes</t>
        </is>
      </c>
      <c r="D10" s="4" t="inlineStr">
        <is>
          <t>edges</t>
        </is>
      </c>
      <c r="E10" s="4" t="inlineStr">
        <is>
          <t>node+edge</t>
        </is>
      </c>
      <c r="F10" s="4" t="inlineStr">
        <is>
          <t>nodes/|V|</t>
        </is>
      </c>
    </row>
    <row r="11">
      <c r="A11" s="7" t="inlineStr">
        <is>
          <t>amazon0601</t>
        </is>
      </c>
      <c r="B11" s="8" t="n">
        <v>0</v>
      </c>
      <c r="C11" s="6" t="n">
        <v>660</v>
      </c>
      <c r="D11" s="6" t="n">
        <v>1446</v>
      </c>
      <c r="E11" s="9">
        <f>C11+D11</f>
        <v/>
      </c>
      <c r="F11" s="10">
        <f>C11/$B$6</f>
        <v/>
      </c>
    </row>
    <row r="12">
      <c r="A12" s="7" t="inlineStr">
        <is>
          <t>amazon0601</t>
        </is>
      </c>
      <c r="B12" s="8" t="n">
        <v>2</v>
      </c>
      <c r="C12" s="6" t="n">
        <v>169</v>
      </c>
      <c r="D12" s="6" t="n">
        <v>458</v>
      </c>
      <c r="E12" s="9">
        <f>C12+D12</f>
        <v/>
      </c>
      <c r="F12" s="10">
        <f>C12/$B$6</f>
        <v/>
      </c>
    </row>
    <row r="13">
      <c r="A13" s="7" t="inlineStr">
        <is>
          <t>amazon0601</t>
        </is>
      </c>
      <c r="B13" s="8" t="n">
        <v>3</v>
      </c>
      <c r="C13" s="6" t="n">
        <v>234</v>
      </c>
      <c r="D13" s="6" t="n">
        <v>652</v>
      </c>
      <c r="E13" s="9">
        <f>C13+D13</f>
        <v/>
      </c>
      <c r="F13" s="10">
        <f>C13/$B$6</f>
        <v/>
      </c>
    </row>
    <row r="14">
      <c r="A14" s="7" t="inlineStr">
        <is>
          <t>amazon0601</t>
        </is>
      </c>
      <c r="B14" s="8" t="n">
        <v>4</v>
      </c>
      <c r="C14" s="6" t="n">
        <v>467</v>
      </c>
      <c r="D14" s="6" t="n">
        <v>1323</v>
      </c>
      <c r="E14" s="9">
        <f>C14+D14</f>
        <v/>
      </c>
      <c r="F14" s="10">
        <f>C14/$B$6</f>
        <v/>
      </c>
    </row>
    <row r="15">
      <c r="A15" s="11" t="inlineStr">
        <is>
          <t>amazon0601 平均</t>
        </is>
      </c>
      <c r="B15" s="12" t="inlineStr"/>
      <c r="C15" s="13">
        <f>AVERAGE(C11:C14)</f>
        <v/>
      </c>
      <c r="D15" s="13">
        <f>AVERAGE(D11:D14)</f>
        <v/>
      </c>
      <c r="E15" s="13">
        <f>AVERAGE(E11:E14)</f>
        <v/>
      </c>
      <c r="F15" s="14">
        <f>C15/$B$6</f>
        <v/>
      </c>
    </row>
    <row r="16">
      <c r="A16" s="7" t="inlineStr">
        <is>
          <t>vldb</t>
        </is>
      </c>
      <c r="B16" s="8" t="n">
        <v>0</v>
      </c>
      <c r="C16" s="6" t="n">
        <v>1899</v>
      </c>
      <c r="D16" s="6" t="n">
        <v>3771</v>
      </c>
      <c r="E16" s="9">
        <f>C16+D16</f>
        <v/>
      </c>
      <c r="F16" s="10">
        <f>C16/$B$7</f>
        <v/>
      </c>
    </row>
    <row r="17">
      <c r="A17" s="7" t="inlineStr">
        <is>
          <t>vldb</t>
        </is>
      </c>
      <c r="B17" s="8" t="n">
        <v>1</v>
      </c>
      <c r="C17" s="6" t="n">
        <v>946</v>
      </c>
      <c r="D17" s="6" t="n">
        <v>2576</v>
      </c>
      <c r="E17" s="9">
        <f>C17+D17</f>
        <v/>
      </c>
      <c r="F17" s="10">
        <f>C17/$B$7</f>
        <v/>
      </c>
    </row>
    <row r="18">
      <c r="A18" s="7" t="inlineStr">
        <is>
          <t>vldb</t>
        </is>
      </c>
      <c r="B18" s="8" t="n">
        <v>2</v>
      </c>
      <c r="C18" s="6" t="n">
        <v>958</v>
      </c>
      <c r="D18" s="6" t="n">
        <v>2586</v>
      </c>
      <c r="E18" s="9">
        <f>C18+D18</f>
        <v/>
      </c>
      <c r="F18" s="10">
        <f>C18/$B$7</f>
        <v/>
      </c>
    </row>
    <row r="19">
      <c r="A19" s="7" t="inlineStr">
        <is>
          <t>vldb</t>
        </is>
      </c>
      <c r="B19" s="8" t="n">
        <v>3</v>
      </c>
      <c r="C19" s="6" t="n">
        <v>1036</v>
      </c>
      <c r="D19" s="6" t="n">
        <v>2894</v>
      </c>
      <c r="E19" s="9">
        <f>C19+D19</f>
        <v/>
      </c>
      <c r="F19" s="10">
        <f>C19/$B$7</f>
        <v/>
      </c>
    </row>
    <row r="20">
      <c r="A20" s="11" t="inlineStr">
        <is>
          <t>vldb 平均</t>
        </is>
      </c>
      <c r="B20" s="12" t="inlineStr"/>
      <c r="C20" s="13">
        <f>AVERAGE(C16:C19)</f>
        <v/>
      </c>
      <c r="D20" s="13">
        <f>AVERAGE(D16:D19)</f>
        <v/>
      </c>
      <c r="E20" s="13">
        <f>AVERAGE(E16:E19)</f>
        <v/>
      </c>
      <c r="F20" s="14">
        <f>C20/$B$7</f>
        <v/>
      </c>
    </row>
    <row r="22">
      <c r="A22" s="3" t="inlineStr">
        <is>
          <t>【表1】複数視点でRW共有時の和集合（実測=青）と グラフ対比（計算）</t>
        </is>
      </c>
    </row>
    <row r="23">
      <c r="A23" s="4" t="inlineStr">
        <is>
          <t>graph</t>
        </is>
      </c>
      <c r="B23" s="4" t="inlineStr">
        <is>
          <t>視点数</t>
        </is>
      </c>
      <c r="C23" s="4" t="inlineStr">
        <is>
          <t>和集合 node+edge</t>
        </is>
      </c>
      <c r="D23" s="4" t="inlineStr">
        <is>
          <t>和集合 nodes</t>
        </is>
      </c>
      <c r="E23" s="4" t="inlineStr">
        <is>
          <t>nodes/|V|</t>
        </is>
      </c>
      <c r="F23" s="4" t="inlineStr">
        <is>
          <t>増分 node+edge</t>
        </is>
      </c>
    </row>
    <row r="24">
      <c r="A24" s="7" t="inlineStr">
        <is>
          <t>amazon0601</t>
        </is>
      </c>
      <c r="B24" s="8" t="n">
        <v>1</v>
      </c>
      <c r="C24" s="6" t="n">
        <v>2106</v>
      </c>
      <c r="D24" s="6" t="n">
        <v>660</v>
      </c>
      <c r="E24" s="10">
        <f>D24/$B$6</f>
        <v/>
      </c>
      <c r="F24" s="9">
        <f>C24</f>
        <v/>
      </c>
    </row>
    <row r="25">
      <c r="A25" s="7" t="inlineStr">
        <is>
          <t>amazon0601</t>
        </is>
      </c>
      <c r="B25" s="8" t="n">
        <v>2</v>
      </c>
      <c r="C25" s="6" t="n">
        <v>2679</v>
      </c>
      <c r="D25" s="6" t="n">
        <v>801</v>
      </c>
      <c r="E25" s="10">
        <f>D25/$B$6</f>
        <v/>
      </c>
      <c r="F25" s="9">
        <f>C25-C24</f>
        <v/>
      </c>
    </row>
    <row r="26">
      <c r="A26" s="7" t="inlineStr">
        <is>
          <t>amazon0601</t>
        </is>
      </c>
      <c r="B26" s="8" t="n">
        <v>3</v>
      </c>
      <c r="C26" s="6" t="n">
        <v>3474</v>
      </c>
      <c r="D26" s="6" t="n">
        <v>992</v>
      </c>
      <c r="E26" s="10">
        <f>D26/$B$6</f>
        <v/>
      </c>
      <c r="F26" s="9">
        <f>C26-C25</f>
        <v/>
      </c>
    </row>
    <row r="27">
      <c r="A27" s="7" t="inlineStr">
        <is>
          <t>amazon0601</t>
        </is>
      </c>
      <c r="B27" s="8" t="n">
        <v>4</v>
      </c>
      <c r="C27" s="6" t="n">
        <v>5037</v>
      </c>
      <c r="D27" s="6" t="n">
        <v>1373</v>
      </c>
      <c r="E27" s="10">
        <f>D27/$B$6</f>
        <v/>
      </c>
      <c r="F27" s="9">
        <f>C27-C26</f>
        <v/>
      </c>
    </row>
    <row r="28">
      <c r="A28" s="7" t="inlineStr">
        <is>
          <t>vldb</t>
        </is>
      </c>
      <c r="B28" s="8" t="n">
        <v>1</v>
      </c>
      <c r="C28" s="6" t="n">
        <v>5670</v>
      </c>
      <c r="D28" s="6" t="n">
        <v>1899</v>
      </c>
      <c r="E28" s="10">
        <f>D28/$B$7</f>
        <v/>
      </c>
      <c r="F28" s="9">
        <f>C28</f>
        <v/>
      </c>
    </row>
    <row r="29">
      <c r="A29" s="7" t="inlineStr">
        <is>
          <t>vldb</t>
        </is>
      </c>
      <c r="B29" s="8" t="n">
        <v>2</v>
      </c>
      <c r="C29" s="6" t="n">
        <v>9046</v>
      </c>
      <c r="D29" s="6" t="n">
        <v>2770</v>
      </c>
      <c r="E29" s="10">
        <f>D29/$B$7</f>
        <v/>
      </c>
      <c r="F29" s="9">
        <f>C29-C28</f>
        <v/>
      </c>
    </row>
    <row r="30">
      <c r="A30" s="7" t="inlineStr">
        <is>
          <t>vldb</t>
        </is>
      </c>
      <c r="B30" s="8" t="n">
        <v>3</v>
      </c>
      <c r="C30" s="6" t="n">
        <v>12318</v>
      </c>
      <c r="D30" s="6" t="n">
        <v>3609</v>
      </c>
      <c r="E30" s="10">
        <f>D30/$B$7</f>
        <v/>
      </c>
      <c r="F30" s="9">
        <f>C30-C29</f>
        <v/>
      </c>
    </row>
    <row r="31">
      <c r="A31" s="7" t="inlineStr">
        <is>
          <t>vldb</t>
        </is>
      </c>
      <c r="B31" s="8" t="n">
        <v>4</v>
      </c>
      <c r="C31" s="6" t="n">
        <v>15949</v>
      </c>
      <c r="D31" s="6" t="n">
        <v>4480</v>
      </c>
      <c r="E31" s="10">
        <f>D31/$B$7</f>
        <v/>
      </c>
      <c r="F31" s="9">
        <f>C31-C30</f>
        <v/>
      </c>
    </row>
    <row r="33">
      <c r="A33" s="3" t="inlineStr">
        <is>
          <t>【表2】視点数Kへの線形外挿（1視点増分 = 4視点実測の和集合 / 4）</t>
        </is>
      </c>
    </row>
    <row r="34">
      <c r="A34" s="4" t="inlineStr">
        <is>
          <t>graph</t>
        </is>
      </c>
      <c r="B34" s="4" t="inlineStr">
        <is>
          <t>1視点増分 nodes</t>
        </is>
      </c>
      <c r="C34" s="4" t="inlineStr">
        <is>
          <t>1視点増分 node+edge</t>
        </is>
      </c>
    </row>
    <row r="35">
      <c r="A35" s="7" t="inlineStr">
        <is>
          <t>amazon0601</t>
        </is>
      </c>
      <c r="B35" s="9">
        <f>D27/4</f>
        <v/>
      </c>
      <c r="C35" s="9">
        <f>C27/4</f>
        <v/>
      </c>
    </row>
    <row r="36">
      <c r="A36" s="7" t="inlineStr">
        <is>
          <t>vldb</t>
        </is>
      </c>
      <c r="B36" s="9">
        <f>D31/4</f>
        <v/>
      </c>
      <c r="C36" s="9">
        <f>C31/4</f>
        <v/>
      </c>
    </row>
    <row r="38">
      <c r="A38" s="3" t="inlineStr">
        <is>
          <t>外挿テーブル（線形上界・飽和無視）</t>
        </is>
      </c>
    </row>
    <row r="39">
      <c r="A39" s="4" t="inlineStr">
        <is>
          <t>視点数 K</t>
        </is>
      </c>
      <c r="B39" s="4" t="inlineStr">
        <is>
          <t>amazon nodes</t>
        </is>
      </c>
      <c r="C39" s="4" t="inlineStr">
        <is>
          <t>amazon nodes/|V|</t>
        </is>
      </c>
      <c r="D39" s="4" t="inlineStr">
        <is>
          <t>amazon node+edge</t>
        </is>
      </c>
      <c r="E39" s="4" t="inlineStr">
        <is>
          <t>vldb nodes</t>
        </is>
      </c>
      <c r="F39" s="4" t="inlineStr">
        <is>
          <t>vldb nodes/|V|</t>
        </is>
      </c>
      <c r="G39" s="4" t="inlineStr">
        <is>
          <t>vldb node+edge</t>
        </is>
      </c>
    </row>
    <row r="40">
      <c r="A40" s="8" t="n">
        <v>4</v>
      </c>
      <c r="B40" s="9">
        <f>$A40*B35</f>
        <v/>
      </c>
      <c r="C40" s="15">
        <f>B40/$B$6</f>
        <v/>
      </c>
      <c r="D40" s="9">
        <f>$A40*C35</f>
        <v/>
      </c>
      <c r="E40" s="9">
        <f>$A40*B36</f>
        <v/>
      </c>
      <c r="F40" s="15">
        <f>E40/$B$7</f>
        <v/>
      </c>
      <c r="G40" s="9">
        <f>$A40*C36</f>
        <v/>
      </c>
    </row>
    <row r="41">
      <c r="A41" s="8" t="n">
        <v>10</v>
      </c>
      <c r="B41" s="9">
        <f>$A41*B35</f>
        <v/>
      </c>
      <c r="C41" s="15">
        <f>B41/$B$6</f>
        <v/>
      </c>
      <c r="D41" s="9">
        <f>$A41*C35</f>
        <v/>
      </c>
      <c r="E41" s="9">
        <f>$A41*B36</f>
        <v/>
      </c>
      <c r="F41" s="15">
        <f>E41/$B$7</f>
        <v/>
      </c>
      <c r="G41" s="9">
        <f>$A41*C36</f>
        <v/>
      </c>
    </row>
    <row r="42">
      <c r="A42" s="8" t="n">
        <v>50</v>
      </c>
      <c r="B42" s="9">
        <f>$A42*B35</f>
        <v/>
      </c>
      <c r="C42" s="15">
        <f>B42/$B$6</f>
        <v/>
      </c>
      <c r="D42" s="9">
        <f>$A42*C35</f>
        <v/>
      </c>
      <c r="E42" s="9">
        <f>$A42*B36</f>
        <v/>
      </c>
      <c r="F42" s="15">
        <f>E42/$B$7</f>
        <v/>
      </c>
      <c r="G42" s="9">
        <f>$A42*C36</f>
        <v/>
      </c>
    </row>
    <row r="43">
      <c r="A43" s="8" t="n">
        <v>100</v>
      </c>
      <c r="B43" s="9">
        <f>$A43*B35</f>
        <v/>
      </c>
      <c r="C43" s="15">
        <f>B43/$B$6</f>
        <v/>
      </c>
      <c r="D43" s="9">
        <f>$A43*C35</f>
        <v/>
      </c>
      <c r="E43" s="9">
        <f>$A43*B36</f>
        <v/>
      </c>
      <c r="F43" s="15">
        <f>E43/$B$7</f>
        <v/>
      </c>
      <c r="G43" s="9">
        <f>$A43*C36</f>
        <v/>
      </c>
    </row>
    <row r="45">
      <c r="A45" s="3" t="inlineStr">
        <is>
          <t>【表3】容量Nと提案(ppr_demand)の削減率（負=改善）。主指標は認可時間</t>
        </is>
      </c>
    </row>
    <row r="46">
      <c r="A46" s="4" t="inlineStr">
        <is>
          <t>graph</t>
        </is>
      </c>
      <c r="B46" s="4" t="inlineStr">
        <is>
          <t>N</t>
        </is>
      </c>
      <c r="C46" s="4" t="inlineStr">
        <is>
          <t>N/|V|</t>
        </is>
      </c>
      <c r="D46" s="4" t="inlineStr">
        <is>
          <t>N/WS</t>
        </is>
      </c>
      <c r="E46" s="4" t="inlineStr">
        <is>
          <t>lru auth(s)</t>
        </is>
      </c>
      <c r="F46" s="4" t="inlineStr">
        <is>
          <t>ppr auth(s)</t>
        </is>
      </c>
      <c r="G46" s="4" t="inlineStr">
        <is>
          <t>認可削減</t>
        </is>
      </c>
      <c r="H46" s="4" t="inlineStr">
        <is>
          <t>lru total(s)</t>
        </is>
      </c>
      <c r="I46" s="4" t="inlineStr">
        <is>
          <t>ppr total(s)</t>
        </is>
      </c>
      <c r="J46" s="4" t="inlineStr">
        <is>
          <t>総削減</t>
        </is>
      </c>
    </row>
    <row r="47">
      <c r="A47" s="7" t="inlineStr">
        <is>
          <t>amazon0601</t>
        </is>
      </c>
      <c r="B47" s="8" t="n">
        <v>100</v>
      </c>
      <c r="C47" s="10">
        <f>B47/$B$6</f>
        <v/>
      </c>
      <c r="D47" s="15">
        <f>B47/E15</f>
        <v/>
      </c>
      <c r="E47" s="16" t="n">
        <v>2.7097</v>
      </c>
      <c r="F47" s="16" t="n">
        <v>2.648</v>
      </c>
      <c r="G47" s="17">
        <f>(F47-E47)/E47</f>
        <v/>
      </c>
      <c r="H47" s="16" t="n">
        <v>31.2199</v>
      </c>
      <c r="I47" s="16" t="n">
        <v>30.9049</v>
      </c>
      <c r="J47" s="17">
        <f>(I47-H47)/H47</f>
        <v/>
      </c>
    </row>
    <row r="48">
      <c r="A48" s="7" t="inlineStr">
        <is>
          <t>amazon0601</t>
        </is>
      </c>
      <c r="B48" s="8" t="n">
        <v>200</v>
      </c>
      <c r="C48" s="10">
        <f>B48/$B$6</f>
        <v/>
      </c>
      <c r="D48" s="15">
        <f>B48/E15</f>
        <v/>
      </c>
      <c r="E48" s="16" t="n">
        <v>2.5789</v>
      </c>
      <c r="F48" s="16" t="n">
        <v>2.286</v>
      </c>
      <c r="G48" s="17">
        <f>(F48-E48)/E48</f>
        <v/>
      </c>
      <c r="H48" s="16" t="n">
        <v>30.7995</v>
      </c>
      <c r="I48" s="16" t="n">
        <v>28.8106</v>
      </c>
      <c r="J48" s="17">
        <f>(I48-H48)/H48</f>
        <v/>
      </c>
    </row>
    <row r="49">
      <c r="A49" s="7" t="inlineStr">
        <is>
          <t>amazon0601</t>
        </is>
      </c>
      <c r="B49" s="8" t="n">
        <v>300</v>
      </c>
      <c r="C49" s="10">
        <f>B49/$B$6</f>
        <v/>
      </c>
      <c r="D49" s="15">
        <f>B49/E15</f>
        <v/>
      </c>
      <c r="E49" s="16" t="n">
        <v>2.5214</v>
      </c>
      <c r="F49" s="16" t="n">
        <v>2.6578</v>
      </c>
      <c r="G49" s="17">
        <f>(F49-E49)/E49</f>
        <v/>
      </c>
      <c r="H49" s="16" t="n">
        <v>30.5927</v>
      </c>
      <c r="I49" s="16" t="n">
        <v>32.4039</v>
      </c>
      <c r="J49" s="17">
        <f>(I49-H49)/H49</f>
        <v/>
      </c>
    </row>
    <row r="50">
      <c r="A50" s="7" t="inlineStr">
        <is>
          <t>vldb</t>
        </is>
      </c>
      <c r="B50" s="8" t="n">
        <v>100</v>
      </c>
      <c r="C50" s="10">
        <f>B50/$B$7</f>
        <v/>
      </c>
      <c r="D50" s="15">
        <f>B50/E20</f>
        <v/>
      </c>
      <c r="E50" s="16" t="n">
        <v>9.2881</v>
      </c>
      <c r="F50" s="16" t="n">
        <v>9.3529</v>
      </c>
      <c r="G50" s="17">
        <f>(F50-E50)/E50</f>
        <v/>
      </c>
      <c r="H50" s="16" t="n">
        <v>43.2976</v>
      </c>
      <c r="I50" s="16" t="n">
        <v>43.0056</v>
      </c>
      <c r="J50" s="17">
        <f>(I50-H50)/H50</f>
        <v/>
      </c>
    </row>
    <row r="51">
      <c r="A51" s="7" t="inlineStr">
        <is>
          <t>vldb</t>
        </is>
      </c>
      <c r="B51" s="8" t="n">
        <v>200</v>
      </c>
      <c r="C51" s="10">
        <f>B51/$B$7</f>
        <v/>
      </c>
      <c r="D51" s="15">
        <f>B51/E20</f>
        <v/>
      </c>
      <c r="E51" s="16" t="n">
        <v>9.1091</v>
      </c>
      <c r="F51" s="16" t="n">
        <v>9.051</v>
      </c>
      <c r="G51" s="17">
        <f>(F51-E51)/E51</f>
        <v/>
      </c>
      <c r="H51" s="16" t="n">
        <v>42.5963</v>
      </c>
      <c r="I51" s="16" t="n">
        <v>42.3298</v>
      </c>
      <c r="J51" s="17">
        <f>(I51-H51)/H51</f>
        <v/>
      </c>
    </row>
    <row r="52">
      <c r="A52" s="7" t="inlineStr">
        <is>
          <t>vldb</t>
        </is>
      </c>
      <c r="B52" s="8" t="n">
        <v>300</v>
      </c>
      <c r="C52" s="10">
        <f>B52/$B$7</f>
        <v/>
      </c>
      <c r="D52" s="15">
        <f>B52/E20</f>
        <v/>
      </c>
      <c r="E52" s="16" t="n">
        <v>9.509</v>
      </c>
      <c r="F52" s="16" t="n">
        <v>8.956899999999999</v>
      </c>
      <c r="G52" s="17">
        <f>(F52-E52)/E52</f>
        <v/>
      </c>
      <c r="H52" s="16" t="n">
        <v>43.5061</v>
      </c>
      <c r="I52" s="16" t="n">
        <v>42.3245</v>
      </c>
      <c r="J52" s="17">
        <f>(I52-H52)/H52</f>
        <v/>
      </c>
    </row>
    <row r="54">
      <c r="A54" s="3" t="inlineStr">
        <is>
          <t>【注記】</t>
        </is>
      </c>
    </row>
    <row r="55">
      <c r="A55" s="18" t="inlineStr">
        <is>
          <t>色: 青=入力(測定値) / 黒=計算式。測定値を書き換えると割合・削減率は自動再計算。</t>
        </is>
      </c>
    </row>
    <row r="56">
      <c r="A56" s="18" t="inlineStr">
        <is>
          <t>working set/|V|: RWはα(restart)で局所に滞在するため、無制限(memo)でも数千エンティティ(|V|の0.5〜1.7%)で頭打ち。</t>
        </is>
      </c>
    </row>
    <row r="57">
      <c r="A57" s="18" t="inlineStr">
        <is>
          <t>表2は線形上界。視点間の重なりは amazon 7% / vldb 4% と小さく、和集合は視点数にほぼ比例(=多視点で爆発)。実際はグラフ飽和で頭打ち。</t>
        </is>
      </c>
    </row>
    <row r="58">
      <c r="A58" s="18" t="inlineStr">
        <is>
          <t>表3の主指標は「認可削減(G列)」。総削減(J列)は walk時間(本来ポリシー非依存=測定ノイズ)を含むため信号として信頼できない。</t>
        </is>
      </c>
    </row>
    <row r="59">
      <c r="A59" s="18" t="inlineStr">
        <is>
          <t xml:space="preserve">  例: amazon N=200 の総差は walk 28.22→26.52s が主因(認可差は-0.29s)。walk差は本来0のはずでノイズ。</t>
        </is>
      </c>
    </row>
    <row r="60">
      <c r="A60" s="18" t="inlineStr">
        <is>
          <t>1視点WS = 各startのnode+edge平均(退化start除外)。amazon≈1,352 / vldb≈4,167。</t>
        </is>
      </c>
    </row>
    <row r="61">
      <c r="A61" s="18" t="inlineStr">
        <is>
          <t>提案が効く帯: 認可削減で見ると amazon は N≈WSの15%(=cap200)で-11.4%が最良。vldbはcap300(WSの7%)で-5.8%、まだ右肩上がり=最適点は未到達。</t>
        </is>
      </c>
    </row>
    <row r="62">
      <c r="A62" s="18" t="inlineStr">
        <is>
          <t>データ出所: base/proposed_cache/output_compare/time_vs_capacity_summary.csv, memo global_transition.json (alpha=0.01, walks=100, 5 starts)。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17" customWidth="1" min="3" max="3"/>
    <col width="15" customWidth="1" min="4" max="4"/>
    <col width="15" customWidth="1" min="5" max="5"/>
    <col width="15" customWidth="1" min="6" max="6"/>
    <col width="10" customWidth="1" min="7" max="7"/>
    <col width="13" customWidth="1" min="8" max="8"/>
    <col width="11" customWidth="1" min="9" max="9"/>
  </cols>
  <sheetData>
    <row r="1">
      <c r="A1" s="1" t="inlineStr">
        <is>
          <t>【表4】容量サイジング：頂点数|V| と グラフ容量(node+edge) を分離</t>
        </is>
      </c>
    </row>
    <row r="2">
      <c r="A2" s="2" t="inlineStr">
        <is>
          <t>青=入力／黄=前提／黒=計算式。多視点WS=MIN(K視点×1視点WS, 上限)。単位ごとに上限(|V| or グラフ容量)が異なる点に注意。</t>
        </is>
      </c>
    </row>
    <row r="4">
      <c r="A4" s="3" t="inlineStr">
        <is>
          <t>【前提パラメータ】</t>
        </is>
      </c>
    </row>
    <row r="5">
      <c r="A5" s="19" t="inlineStr">
        <is>
          <t>現実的な視点数(RWer)</t>
        </is>
      </c>
      <c r="B5" s="20" t="n">
        <v>100</v>
      </c>
    </row>
    <row r="6">
      <c r="A6" s="19" t="inlineStr">
        <is>
          <t>「10%」=開始点を|V|の何割に</t>
        </is>
      </c>
      <c r="B6" s="21" t="n">
        <v>0.1</v>
      </c>
    </row>
    <row r="7">
      <c r="A7" s="19" t="inlineStr">
        <is>
          <t>最適容量=1視点WSの割合</t>
        </is>
      </c>
      <c r="B7" s="22" t="n">
        <v>0.125</v>
      </c>
    </row>
    <row r="9">
      <c r="A9" s="4" t="inlineStr">
        <is>
          <t>graph</t>
        </is>
      </c>
      <c r="B9" s="4" t="inlineStr">
        <is>
          <t>α</t>
        </is>
      </c>
      <c r="C9" s="4" t="inlineStr">
        <is>
          <t>walks</t>
        </is>
      </c>
      <c r="D9" s="4" t="inlineStr">
        <is>
          <t>頂点数|V|(node)</t>
        </is>
      </c>
      <c r="E9" s="4" t="inlineStr">
        <is>
          <t>グラフ容量(node+edge)</t>
        </is>
      </c>
      <c r="F9" s="4" t="inlineStr">
        <is>
          <t>エッジ/ノード</t>
        </is>
      </c>
    </row>
    <row r="10">
      <c r="A10" s="7" t="inlineStr">
        <is>
          <t>amazon0601</t>
        </is>
      </c>
      <c r="B10" s="8" t="inlineStr">
        <is>
          <t>0.01</t>
        </is>
      </c>
      <c r="C10" s="8" t="inlineStr">
        <is>
          <t>100</t>
        </is>
      </c>
      <c r="D10" s="6" t="n">
        <v>392218</v>
      </c>
      <c r="E10" s="6" t="n">
        <v>2846802</v>
      </c>
      <c r="F10" s="23">
        <f>(E10-D10)/D10</f>
        <v/>
      </c>
    </row>
    <row r="11">
      <c r="A11" s="7" t="inlineStr">
        <is>
          <t>amazon0601</t>
        </is>
      </c>
      <c r="B11" s="8" t="inlineStr">
        <is>
          <t>0.1</t>
        </is>
      </c>
      <c r="C11" s="8" t="inlineStr">
        <is>
          <t>1000</t>
        </is>
      </c>
      <c r="D11" s="6" t="n">
        <v>392218</v>
      </c>
      <c r="E11" s="6" t="n">
        <v>2846802</v>
      </c>
      <c r="F11" s="23">
        <f>(E11-D11)/D11</f>
        <v/>
      </c>
    </row>
    <row r="12">
      <c r="A12" s="7" t="inlineStr">
        <is>
          <t>vldb</t>
        </is>
      </c>
      <c r="B12" s="8" t="inlineStr">
        <is>
          <t>0.01</t>
        </is>
      </c>
      <c r="C12" s="8" t="inlineStr">
        <is>
          <t>100</t>
        </is>
      </c>
      <c r="D12" s="6" t="n">
        <v>263751</v>
      </c>
      <c r="E12" s="6" t="n">
        <v>1366946</v>
      </c>
      <c r="F12" s="23">
        <f>(E12-D12)/D12</f>
        <v/>
      </c>
    </row>
    <row r="13">
      <c r="A13" s="7" t="inlineStr">
        <is>
          <t>vldb</t>
        </is>
      </c>
      <c r="B13" s="8" t="inlineStr">
        <is>
          <t>0.1</t>
        </is>
      </c>
      <c r="C13" s="8" t="inlineStr">
        <is>
          <t>1000</t>
        </is>
      </c>
      <c r="D13" s="6" t="n">
        <v>263751</v>
      </c>
      <c r="E13" s="6" t="n">
        <v>1366946</v>
      </c>
      <c r="F13" s="23">
        <f>(E13-D13)/D13</f>
        <v/>
      </c>
    </row>
    <row r="14">
      <c r="A14" s="24" t="inlineStr">
        <is>
          <t>■ ノード単位（認可対象：auth=node-only）</t>
        </is>
      </c>
    </row>
    <row r="15">
      <c r="A15" s="25" t="inlineStr">
        <is>
          <t>graph</t>
        </is>
      </c>
      <c r="B15" s="25" t="inlineStr">
        <is>
          <t>α</t>
        </is>
      </c>
      <c r="C15" s="25" t="inlineStr">
        <is>
          <t>1視点WS_node</t>
        </is>
      </c>
      <c r="D15" s="25" t="inlineStr">
        <is>
          <t>100視点(node)</t>
        </is>
      </c>
      <c r="E15" s="25" t="inlineStr">
        <is>
          <t>10%視点(node)</t>
        </is>
      </c>
      <c r="F15" s="25" t="inlineStr">
        <is>
          <t>全頂点(node)</t>
        </is>
      </c>
      <c r="G15" s="25" t="inlineStr">
        <is>
          <t>10%/|V|</t>
        </is>
      </c>
      <c r="H15" s="25" t="inlineStr">
        <is>
          <t>最適(node)</t>
        </is>
      </c>
      <c r="I15" s="25" t="inlineStr">
        <is>
          <t>最適/|V|</t>
        </is>
      </c>
    </row>
    <row r="16">
      <c r="A16" s="7" t="inlineStr">
        <is>
          <t>amazon0601</t>
        </is>
      </c>
      <c r="B16" s="8" t="inlineStr">
        <is>
          <t>0.01</t>
        </is>
      </c>
      <c r="C16" s="6" t="n">
        <v>383</v>
      </c>
      <c r="D16" s="9">
        <f>MIN($B$5*C16,$D$10)</f>
        <v/>
      </c>
      <c r="E16" s="9">
        <f>MIN($B$6*$D$10*C16,$D$10)</f>
        <v/>
      </c>
      <c r="F16" s="9">
        <f>MIN($D$10*C16,$D$10)</f>
        <v/>
      </c>
      <c r="G16" s="15">
        <f>E16/$D$10</f>
        <v/>
      </c>
      <c r="H16" s="9">
        <f>ROUND(C16*$B$7,0)</f>
        <v/>
      </c>
      <c r="I16" s="10">
        <f>H16/$D$10</f>
        <v/>
      </c>
    </row>
    <row r="17">
      <c r="A17" s="7" t="inlineStr">
        <is>
          <t>amazon0601</t>
        </is>
      </c>
      <c r="B17" s="8" t="inlineStr">
        <is>
          <t>0.1</t>
        </is>
      </c>
      <c r="C17" s="6" t="n">
        <v>560</v>
      </c>
      <c r="D17" s="9">
        <f>MIN($B$5*C17,$D$11)</f>
        <v/>
      </c>
      <c r="E17" s="9">
        <f>MIN($B$6*$D$11*C17,$D$11)</f>
        <v/>
      </c>
      <c r="F17" s="9">
        <f>MIN($D$11*C17,$D$11)</f>
        <v/>
      </c>
      <c r="G17" s="15">
        <f>E17/$D$11</f>
        <v/>
      </c>
      <c r="H17" s="9">
        <f>ROUND(C17*$B$7,0)</f>
        <v/>
      </c>
      <c r="I17" s="10">
        <f>H17/$D$11</f>
        <v/>
      </c>
    </row>
    <row r="18">
      <c r="A18" s="7" t="inlineStr">
        <is>
          <t>vldb</t>
        </is>
      </c>
      <c r="B18" s="8" t="inlineStr">
        <is>
          <t>0.01</t>
        </is>
      </c>
      <c r="C18" s="6" t="n">
        <v>1210</v>
      </c>
      <c r="D18" s="9">
        <f>MIN($B$5*C18,$D$12)</f>
        <v/>
      </c>
      <c r="E18" s="9">
        <f>MIN($B$6*$D$12*C18,$D$12)</f>
        <v/>
      </c>
      <c r="F18" s="9">
        <f>MIN($D$12*C18,$D$12)</f>
        <v/>
      </c>
      <c r="G18" s="15">
        <f>E18/$D$12</f>
        <v/>
      </c>
      <c r="H18" s="9">
        <f>ROUND(C18*$B$7,0)</f>
        <v/>
      </c>
      <c r="I18" s="10">
        <f>H18/$D$12</f>
        <v/>
      </c>
    </row>
    <row r="19">
      <c r="A19" s="7" t="inlineStr">
        <is>
          <t>vldb</t>
        </is>
      </c>
      <c r="B19" s="8" t="inlineStr">
        <is>
          <t>0.1</t>
        </is>
      </c>
      <c r="C19" s="6" t="n">
        <v>644</v>
      </c>
      <c r="D19" s="9">
        <f>MIN($B$5*C19,$D$13)</f>
        <v/>
      </c>
      <c r="E19" s="9">
        <f>MIN($B$6*$D$13*C19,$D$13)</f>
        <v/>
      </c>
      <c r="F19" s="9">
        <f>MIN($D$13*C19,$D$13)</f>
        <v/>
      </c>
      <c r="G19" s="15">
        <f>E19/$D$13</f>
        <v/>
      </c>
      <c r="H19" s="9">
        <f>ROUND(C19*$B$7,0)</f>
        <v/>
      </c>
      <c r="I19" s="10">
        <f>H19/$D$13</f>
        <v/>
      </c>
    </row>
    <row r="20">
      <c r="A20" s="26" t="inlineStr">
        <is>
          <t>■ ノード+エッジ単位（物理キャッシュ：memo/容量）</t>
        </is>
      </c>
    </row>
    <row r="21">
      <c r="A21" s="4" t="inlineStr">
        <is>
          <t>graph</t>
        </is>
      </c>
      <c r="B21" s="4" t="inlineStr">
        <is>
          <t>α</t>
        </is>
      </c>
      <c r="C21" s="4" t="inlineStr">
        <is>
          <t>memo entries(W1)</t>
        </is>
      </c>
      <c r="D21" s="4" t="inlineStr">
        <is>
          <t>100視点(n+e)</t>
        </is>
      </c>
      <c r="E21" s="4" t="inlineStr">
        <is>
          <t>10%視点(n+e)</t>
        </is>
      </c>
      <c r="F21" s="4" t="inlineStr">
        <is>
          <t>全頂点(n+e)</t>
        </is>
      </c>
      <c r="G21" s="4" t="inlineStr">
        <is>
          <t>10%/容量</t>
        </is>
      </c>
      <c r="H21" s="4" t="inlineStr">
        <is>
          <t>最適(n+e)</t>
        </is>
      </c>
      <c r="I21" s="4" t="inlineStr">
        <is>
          <t>最適/容量</t>
        </is>
      </c>
    </row>
    <row r="22">
      <c r="A22" s="7" t="inlineStr">
        <is>
          <t>amazon0601</t>
        </is>
      </c>
      <c r="B22" s="8" t="inlineStr">
        <is>
          <t>0.01</t>
        </is>
      </c>
      <c r="C22" s="6" t="n">
        <v>1850</v>
      </c>
      <c r="D22" s="9">
        <f>MIN($B$5*C22,$E$10)</f>
        <v/>
      </c>
      <c r="E22" s="9">
        <f>MIN($B$6*$D$10*C22,$E$10)</f>
        <v/>
      </c>
      <c r="F22" s="9">
        <f>MIN($D$10*C22,$E$10)</f>
        <v/>
      </c>
      <c r="G22" s="15">
        <f>E22/$E$10</f>
        <v/>
      </c>
      <c r="H22" s="9">
        <f>ROUND(C22*$B$7,0)</f>
        <v/>
      </c>
      <c r="I22" s="10">
        <f>H22/$E$10</f>
        <v/>
      </c>
    </row>
    <row r="23">
      <c r="A23" s="7" t="inlineStr">
        <is>
          <t>amazon0601</t>
        </is>
      </c>
      <c r="B23" s="8" t="inlineStr">
        <is>
          <t>0.1</t>
        </is>
      </c>
      <c r="C23" s="6" t="n">
        <v>2000</v>
      </c>
      <c r="D23" s="9">
        <f>MIN($B$5*C23,$E$11)</f>
        <v/>
      </c>
      <c r="E23" s="9">
        <f>MIN($B$6*$D$11*C23,$E$11)</f>
        <v/>
      </c>
      <c r="F23" s="9">
        <f>MIN($D$11*C23,$E$11)</f>
        <v/>
      </c>
      <c r="G23" s="15">
        <f>E23/$E$11</f>
        <v/>
      </c>
      <c r="H23" s="9">
        <f>ROUND(C23*$B$7,0)</f>
        <v/>
      </c>
      <c r="I23" s="10">
        <f>H23/$E$11</f>
        <v/>
      </c>
    </row>
    <row r="24">
      <c r="A24" s="7" t="inlineStr">
        <is>
          <t>vldb</t>
        </is>
      </c>
      <c r="B24" s="8" t="inlineStr">
        <is>
          <t>0.01</t>
        </is>
      </c>
      <c r="C24" s="6" t="n">
        <v>5700</v>
      </c>
      <c r="D24" s="9">
        <f>MIN($B$5*C24,$E$12)</f>
        <v/>
      </c>
      <c r="E24" s="9">
        <f>MIN($B$6*$D$12*C24,$E$12)</f>
        <v/>
      </c>
      <c r="F24" s="9">
        <f>MIN($D$12*C24,$E$12)</f>
        <v/>
      </c>
      <c r="G24" s="15">
        <f>E24/$E$12</f>
        <v/>
      </c>
      <c r="H24" s="9">
        <f>ROUND(C24*$B$7,0)</f>
        <v/>
      </c>
      <c r="I24" s="10">
        <f>H24/$E$12</f>
        <v/>
      </c>
    </row>
    <row r="25">
      <c r="A25" s="7" t="inlineStr">
        <is>
          <t>vldb</t>
        </is>
      </c>
      <c r="B25" s="8" t="inlineStr">
        <is>
          <t>0.1</t>
        </is>
      </c>
      <c r="C25" s="6" t="n">
        <v>2300</v>
      </c>
      <c r="D25" s="9">
        <f>MIN($B$5*C25,$E$13)</f>
        <v/>
      </c>
      <c r="E25" s="9">
        <f>MIN($B$6*$D$13*C25,$E$13)</f>
        <v/>
      </c>
      <c r="F25" s="9">
        <f>MIN($D$13*C25,$E$13)</f>
        <v/>
      </c>
      <c r="G25" s="15">
        <f>E25/$E$13</f>
        <v/>
      </c>
      <c r="H25" s="9">
        <f>ROUND(C25*$B$7,0)</f>
        <v/>
      </c>
      <c r="I25" s="10">
        <f>H25/$E$13</f>
        <v/>
      </c>
    </row>
    <row r="27">
      <c r="A27" s="3" t="inlineStr">
        <is>
          <t>【注記】</t>
        </is>
      </c>
    </row>
    <row r="28">
      <c r="A28" s="2" t="inlineStr">
        <is>
          <t>頂点数|V|=ノードのみ=認可対象(auth=node-only、エッジは常時allowで自明)。グラフ容量=node+edge全エンティティ=キャッシュが物理的に持つ対象(RTT削減でエッジも保持)。グラフ容量≈|V|×(1+平均次数)。</t>
        </is>
      </c>
    </row>
    <row r="29">
      <c r="A29" s="2" t="inlineStr">
        <is>
          <t>1視点WS_node: α0.01は実測(amazon≈383/vldb≈1210)。α0.1は memo×0.28 で推定(node/(node+edge)比)。memo entries(W1)=node+edge実測。</t>
        </is>
      </c>
    </row>
    <row r="30">
      <c r="A30" s="2" t="inlineStr">
        <is>
          <t>多視点WS=MIN(視点数K × 1視点WS, 上限)。視点間の重なりが実測4視点で4-7%と小さく ほぼ線形。上限はノード単位なら|V|、node+edge単位ならグラフ容量。</t>
        </is>
      </c>
    </row>
    <row r="31">
      <c r="A31" s="2" t="inlineStr">
        <is>
          <t>10%視点(=|V|の10%=数万視点)と全頂点は両単位とも即飽和=上限100%。memo(無制限)は事実上グラフ全体を抱える=非スケーラブル。</t>
        </is>
      </c>
    </row>
    <row r="32">
      <c r="A32" s="2" t="inlineStr">
        <is>
          <t>現実的な100視点: ノード単位 amazon≈9.7%・vldb≈45.9% / node+edge単位 amazon≈6.5%・vldb≈41.7%。100 RWerでグラフの1割〜半分。</t>
        </is>
      </c>
    </row>
    <row r="33">
      <c r="A33" s="2" t="inlineStr">
        <is>
          <t>最適容量=ppr_demandがLRUに認可時間で勝つ帯=1視点WSの約10-15%(中点12.5%)。これは1視点あたり。M視点共有なら≈M倍。</t>
        </is>
      </c>
    </row>
    <row r="34">
      <c r="A34" s="2" t="inlineStr">
        <is>
          <t>出所: graph_entities/auth は memo memory_summary.json、1視点WSは global_transition.json(access), 認可削減は time_vs_capacity_summary.csv。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2026-06-05T07:08:15Z</dcterms:created>
  <dcterms:modified xsi:type="dcterms:W3CDTF">2026-06-05T07:35:00Z</dcterms:modified>
</cp:coreProperties>
</file>